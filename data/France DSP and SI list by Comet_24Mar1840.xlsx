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JI Resellers France" sheetId="1" r:id="rId5"/>
    <sheet state="visible" name="BVLOS SORA DJI Dock Operators" sheetId="2" r:id="rId6"/>
  </sheets>
  <definedNames/>
  <calcPr/>
</workbook>
</file>

<file path=xl/sharedStrings.xml><?xml version="1.0" encoding="utf-8"?>
<sst xmlns="http://schemas.openxmlformats.org/spreadsheetml/2006/main" count="238" uniqueCount="202">
  <si>
    <t>#</t>
  </si>
  <si>
    <t>Company Name</t>
  </si>
  <si>
    <t>Address</t>
  </si>
  <si>
    <t>City</t>
  </si>
  <si>
    <t>Phone</t>
  </si>
  <si>
    <t>Email</t>
  </si>
  <si>
    <t>Website</t>
  </si>
  <si>
    <t>DJI Dock 3 Authorized</t>
  </si>
  <si>
    <t>Notes</t>
  </si>
  <si>
    <t>Source</t>
  </si>
  <si>
    <t>Abot</t>
  </si>
  <si>
    <t>130 Rue Nicole Oresme ZAC</t>
  </si>
  <si>
    <t>76230 Isneauville</t>
  </si>
  <si>
    <t>https://www.abot.fr</t>
  </si>
  <si>
    <t>Yes</t>
  </si>
  <si>
    <t>DJI Enterprise Authorized Dealer</t>
  </si>
  <si>
    <t>Capture Solutions</t>
  </si>
  <si>
    <t>4 Parc des Fontenelles</t>
  </si>
  <si>
    <t>78870 Bailly</t>
  </si>
  <si>
    <t>https://www.capture-solutions.fr</t>
  </si>
  <si>
    <t>No</t>
  </si>
  <si>
    <t>DUMONT SECURITE</t>
  </si>
  <si>
    <t>9 Rue Lucien Rosengart</t>
  </si>
  <si>
    <t>01500 Ambérieu-en-Bugey</t>
  </si>
  <si>
    <t>https://www.dumont-securite.fr</t>
  </si>
  <si>
    <t>Escadrone</t>
  </si>
  <si>
    <t>Novesparc RDC, 445 B Rue Lavoisier bat B</t>
  </si>
  <si>
    <t>38330 Montbonnot-Saint-Martin</t>
  </si>
  <si>
    <t>https://escadrone.com</t>
  </si>
  <si>
    <t>DJI Enterprise Authorized Dealer (from DJI FR site)</t>
  </si>
  <si>
    <t>Flying Eye</t>
  </si>
  <si>
    <t>Green Side 1B, 400 Av. Roumanille</t>
  </si>
  <si>
    <t>06410 Biot</t>
  </si>
  <si>
    <t>https://www.flyingeye.fr</t>
  </si>
  <si>
    <t>DJI Enterprise Dealer; First BVLOS DJI Dock auth. in France (with Altametris for SNCF, 2023)</t>
  </si>
  <si>
    <t>Geomesure</t>
  </si>
  <si>
    <t>560 Rue Henri Farman</t>
  </si>
  <si>
    <t>34430 Saint-Jean-de-Védas</t>
  </si>
  <si>
    <t>https://www.geomesure.fr</t>
  </si>
  <si>
    <t>NETPIX - La Camera Embarquée</t>
  </si>
  <si>
    <t>145 Av. du 12 Juillet 1998, Quartier de l'enfant</t>
  </si>
  <si>
    <t>13290 Aix-en-Provence</t>
  </si>
  <si>
    <t>contact@lacameraembarquee.fr</t>
  </si>
  <si>
    <t>https://www.lacameraembarquee.fr</t>
  </si>
  <si>
    <t>Prodrones</t>
  </si>
  <si>
    <t>Route de la trésorerie ZI La trésorerie</t>
  </si>
  <si>
    <t>62126 Wimille</t>
  </si>
  <si>
    <t>contact@prodrones.fr</t>
  </si>
  <si>
    <t>https://www.prodrones.fr</t>
  </si>
  <si>
    <t>PROTEC SECURITY SYSTEMS</t>
  </si>
  <si>
    <t>301 avenue de Rio</t>
  </si>
  <si>
    <t>77127 Lieusaint</t>
  </si>
  <si>
    <t>Philippe.gabet@protecsecuritysystems.fr</t>
  </si>
  <si>
    <t>https://www.protecsecuritysystems.fr</t>
  </si>
  <si>
    <t>Rivolier</t>
  </si>
  <si>
    <t>Z.I. Les Collonges</t>
  </si>
  <si>
    <t>42170 Saint-Just-Saint-Rambert</t>
  </si>
  <si>
    <t>blays@rivolier.fr</t>
  </si>
  <si>
    <t>https://www.rivolier-sd.com</t>
  </si>
  <si>
    <t>VOLTANEO</t>
  </si>
  <si>
    <t>12 Rue Claude Burdin</t>
  </si>
  <si>
    <t>63100 Clermont-Ferrand</t>
  </si>
  <si>
    <t>https://www.voltaneo.com</t>
  </si>
  <si>
    <t>Location/HQ</t>
  </si>
  <si>
    <t>Authorization Type</t>
  </si>
  <si>
    <t>Approval Status</t>
  </si>
  <si>
    <t>Sector/Application</t>
  </si>
  <si>
    <t>Year Approved</t>
  </si>
  <si>
    <t>Key Details / Partnership</t>
  </si>
  <si>
    <t>Source/Reference</t>
  </si>
  <si>
    <t>https://www.suasnews.com/2023/06/parrot-conducts-the-first-french-bvlos-approved-corridor-flight-with-anafi-ai/</t>
  </si>
  <si>
    <t>Flying Eye + Altametris</t>
  </si>
  <si>
    <t>Biot / France</t>
  </si>
  <si>
    <t>DJI Dock BVLOS</t>
  </si>
  <si>
    <t>Approved by DGAC</t>
  </si>
  <si>
    <t>Railway Infrastructure</t>
  </si>
  <si>
    <t>First DJI Dock BVLOS authorization in France for SNCF Réseau operations</t>
  </si>
  <si>
    <t>https://www.flyingeye.fr/autorisation-dexploitation-bvlos-pour-le-dji-dock-une-premiere-en-france/</t>
  </si>
  <si>
    <t>RigiTech</t>
  </si>
  <si>
    <t>Lausanne, Switzerland</t>
  </si>
  <si>
    <t>BVLOS SORA - Medical Delivery</t>
  </si>
  <si>
    <t>Healthcare/Medical Delivery</t>
  </si>
  <si>
    <t>https://rigi.tech</t>
  </si>
  <si>
    <t>First approved recurrent BVLOS route in controlled airspace (Biogroup labs); 17.6km route</t>
  </si>
  <si>
    <t>https://rigi.tech/biogroup-and-rigitech-obtain-bvlos-authorisations-from-french-civil-aviation/</t>
  </si>
  <si>
    <t>Biogroup</t>
  </si>
  <si>
    <t>France (nationwide)</t>
  </si>
  <si>
    <t>BVLOS Medical Transport</t>
  </si>
  <si>
    <t>Healthcare/Laboratory</t>
  </si>
  <si>
    <t>https://www.biogroup.fr</t>
  </si>
  <si>
    <t>Partnership with RigiTech; France's largest lab group; 900+ clinics</t>
  </si>
  <si>
    <t>Delivrone + RigiTech</t>
  </si>
  <si>
    <t>Rouen, France</t>
  </si>
  <si>
    <t>BVLOS Nighttime Operations</t>
  </si>
  <si>
    <t>https://delivrone.com</t>
  </si>
  <si>
    <t>Nighttime BVLOS medical deliveries (Maubeuge-Valenciennes 41km); First nighttime BVLOS in France</t>
  </si>
  <si>
    <t>https://rigi.tech/delivrone-and-rigitech-successfully-fly-nighttime-bvlos-routes-in-northern-france/</t>
  </si>
  <si>
    <t>Delair</t>
  </si>
  <si>
    <t>Toulouse, France</t>
  </si>
  <si>
    <t>BVLOS SORA (Long Range)</t>
  </si>
  <si>
    <t>EU BVLOS Certified</t>
  </si>
  <si>
    <t>Infrastructure Inspection</t>
  </si>
  <si>
    <t>2017+</t>
  </si>
  <si>
    <t>https://delair.aero</t>
  </si>
  <si>
    <t>First 50km BVLOS flight via 3G (2017); Power line inspection with RTE; Leader in long-endurance BVLOS</t>
  </si>
  <si>
    <t>https://delair.aero/power-utilities/drone-completes-bvlos-flight-via-3g/</t>
  </si>
  <si>
    <t>Parrot</t>
  </si>
  <si>
    <t>Paris, France</t>
  </si>
  <si>
    <t>BVLOS SORA Corridor</t>
  </si>
  <si>
    <t>Commercial/Defense</t>
  </si>
  <si>
    <t>https://www.parrot.com</t>
  </si>
  <si>
    <t>First French BVLOS corridor flight with ANAFI Ai (22km Paris corridor); 4G/5G autonomous</t>
  </si>
  <si>
    <t>https://www.parrot.com/en/newsroom/parrot-conducts-first-french-bvlos-approved-corridor-flight-anafi-ai</t>
  </si>
  <si>
    <t>Azur Drones</t>
  </si>
  <si>
    <t>France</t>
  </si>
  <si>
    <t>Fully Autonomous BVLOS</t>
  </si>
  <si>
    <t>DGAC Certified (2019)</t>
  </si>
  <si>
    <t>Security/Surveillance</t>
  </si>
  <si>
    <t>https://www.azurdrones.com</t>
  </si>
  <si>
    <t>First DGAC approval for fully-automated docking drone (Skeyetech); 24/7 autonomous security patrols</t>
  </si>
  <si>
    <t>https://www.unmannedairspace.info/uncategorized/dgac-certifies-azur-drones-fully-autonomous-operations/</t>
  </si>
  <si>
    <t>Boreal UAS (M3 Systems)</t>
  </si>
  <si>
    <t>BVLOS High Elongation</t>
  </si>
  <si>
    <t>DGAC Specific Auth.</t>
  </si>
  <si>
    <t>Maritime/Forest Inspection</t>
  </si>
  <si>
    <t>https://www.boreal-uas.com</t>
  </si>
  <si>
    <t>First 25kg fixed-wing for 70km maritime &amp; 2km forest BVLOS; SORA approved</t>
  </si>
  <si>
    <t>https://www.boreal-uas.com/en/the-boreal-drone-authorized-by-the-dgac-to-carry-out-high-elongation-missions-a-french-first-for-a-25-kg-fixed-wing-drone/</t>
  </si>
  <si>
    <t>EU Drone Port</t>
  </si>
  <si>
    <t>France/EU</t>
  </si>
  <si>
    <t>SORA Consulting &amp; Approvals</t>
  </si>
  <si>
    <t>SORA Service Provider</t>
  </si>
  <si>
    <t>Consulting/Authorization Services</t>
  </si>
  <si>
    <t>2020+</t>
  </si>
  <si>
    <t>https://eudroneport.com</t>
  </si>
  <si>
    <t>Provides SORA authorization support for BVLOS operations across France; Swarm/DiaB approvals</t>
  </si>
  <si>
    <t>https://eudroneport.com/fr/autorisations-de-vol/autorisation-operationnelle/</t>
  </si>
  <si>
    <t>Instadrone</t>
  </si>
  <si>
    <t>DJI Dock 3 BVLOS</t>
  </si>
  <si>
    <t>DGAC Approved</t>
  </si>
  <si>
    <t>Wastewater Treatment/Industrial</t>
  </si>
  <si>
    <t>https://www.instadrone.fr</t>
  </si>
  <si>
    <t>DJI Dock 3 authorization for SUEZ wastewater treatment plant in Agde; Mobile deployment capability</t>
  </si>
  <si>
    <t>https://fr.linkedin.com/posts/instadrone-sarl_instadrone-d%C3%A9ploie-le-dji-dock-3-chez-suez-activity-7439586809300291584-8JEz</t>
  </si>
  <si>
    <t>Abot (EPC France client)</t>
  </si>
  <si>
    <t>Isneauville, France</t>
  </si>
  <si>
    <t>DJI Dock 2 Testing/SORA Planned</t>
  </si>
  <si>
    <t>Testing Phase</t>
  </si>
  <si>
    <t>Mining/Quarry Operations</t>
  </si>
  <si>
    <t>DJI Dock 2 tested for EPC France mining operations (70ha in 22min); Planning SORA approval for BVLOS</t>
  </si>
  <si>
    <t>https://www.abot.fr/blog/l-interet-du-dji-dock-2-chez-epc-france-mines-et-carrieres-n809</t>
  </si>
  <si>
    <t>Drotek</t>
  </si>
  <si>
    <t>SORA Consulting &amp; Authorization</t>
  </si>
  <si>
    <t>Service Provider</t>
  </si>
  <si>
    <t>Drone Shows/Consulting</t>
  </si>
  <si>
    <t>https://www.drotek.com</t>
  </si>
  <si>
    <t>Provides SORA training, regulatory support for EASA/DGAC/FAA compliance; Drone light show specialist</t>
  </si>
  <si>
    <t>https://www.drotek.com/services/regulation-support</t>
  </si>
  <si>
    <t>Skeye</t>
  </si>
  <si>
    <t>Heinenoord, Netherlands</t>
  </si>
  <si>
    <t>LUC + BVLOS DiAB</t>
  </si>
  <si>
    <t>ILT Approved (First LUC in NL)</t>
  </si>
  <si>
    <t>Industrial Inspection/Offshore</t>
  </si>
  <si>
    <t>https://www.skeye.com</t>
  </si>
  <si>
    <t>First Dutch LUC holder (2022); 6000+ BVLOS flights; Drone-in-a-Box operations for Shell Pernis, remote operations 24/7</t>
  </si>
  <si>
    <t>https://www.skeye.com/news/first-luc-in-the-netherlands-issued-to-skeye/</t>
  </si>
  <si>
    <t>Airwayz</t>
  </si>
  <si>
    <t>Rotterdam, Netherlands</t>
  </si>
  <si>
    <t>U-Space UTM Provider</t>
  </si>
  <si>
    <t>Port Rotterdam Partner</t>
  </si>
  <si>
    <t>Air Traffic Management/UTM</t>
  </si>
  <si>
    <t>https://airwayz.co</t>
  </si>
  <si>
    <t>U-Space airspace UTM provider for Port of Rotterdam; AI-based Dynamic UTM for 50+ drone operators; 300+ flights</t>
  </si>
  <si>
    <t>https://airwayz.co/port-of-rotterdams-u-space-airspace/</t>
  </si>
  <si>
    <t>ANWB MAA</t>
  </si>
  <si>
    <t>Netherlands</t>
  </si>
  <si>
    <t>BVLOS Medical Delivery</t>
  </si>
  <si>
    <t>ILT Test Authorization</t>
  </si>
  <si>
    <t>Medical/Emergency Services</t>
  </si>
  <si>
    <t>https://www.anwb.nl</t>
  </si>
  <si>
    <t>ILT approved medical drone test flights between Dutch cities (1 year authorization from Sept 2025)</t>
  </si>
  <si>
    <t>https://www.dronewatch.eu/anwb-to-test-medical-drone-flights-for-one-year-between-two-dutch-cities/</t>
  </si>
  <si>
    <t>Drone Flight Company</t>
  </si>
  <si>
    <t>BVLOS with Parachute (SAIL 2)</t>
  </si>
  <si>
    <t>ILT Approved</t>
  </si>
  <si>
    <t>Inspections/Commercial</t>
  </si>
  <si>
    <t>https://www.droneflightcompany.com</t>
  </si>
  <si>
    <t>First Dutch operator with BVLOS permit for flights over densely populated areas with emergency parachute system</t>
  </si>
  <si>
    <t>https://www.unmannedairspace.info/uncategorized/dutch-transport-regulator-grant-permission-for-first-drone-flights-over-densely-populated-areas/</t>
  </si>
  <si>
    <t>Dutch Drone Company (DDC)</t>
  </si>
  <si>
    <t>BVLOS SORA Certification</t>
  </si>
  <si>
    <t>Multi-sector Services</t>
  </si>
  <si>
    <t>https://ddc.works</t>
  </si>
  <si>
    <t>Partnership with FlightOps for BVLOS multi-drone operations; Benelux market leader</t>
  </si>
  <si>
    <t>https://ddc.works/blog/flightops-and-dutch-drone-company-announce-strategic-partnership-to-spearhead-bvlos-drone-operations-in-the-benelux-region/</t>
  </si>
  <si>
    <t>Drone Class (with DroneLand)</t>
  </si>
  <si>
    <t>DJI Dock DiAB</t>
  </si>
  <si>
    <t>BVLOS Testing</t>
  </si>
  <si>
    <t>Training/Industrial</t>
  </si>
  <si>
    <t>https://www.droneclass.nl</t>
  </si>
  <si>
    <t>First DJI Dock deployment in Netherlands; BVLOS training and operations; DroneLand as official DJI Dock dealer</t>
  </si>
  <si>
    <t>https://www.dronelicense.eu/blogs/popular/a-first-for-drone-class-dji-dock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</si>
</sst>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bot.fr" TargetMode="External"/><Relationship Id="rId2" Type="http://schemas.openxmlformats.org/officeDocument/2006/relationships/hyperlink" Target="https://www.capture-solutions.fr" TargetMode="External"/><Relationship Id="rId3" Type="http://schemas.openxmlformats.org/officeDocument/2006/relationships/hyperlink" Target="https://www.dumont-securite.fr" TargetMode="External"/><Relationship Id="rId4" Type="http://schemas.openxmlformats.org/officeDocument/2006/relationships/hyperlink" Target="https://escadrone.com" TargetMode="External"/><Relationship Id="rId11" Type="http://schemas.openxmlformats.org/officeDocument/2006/relationships/hyperlink" Target="https://www.voltaneo.com" TargetMode="External"/><Relationship Id="rId10" Type="http://schemas.openxmlformats.org/officeDocument/2006/relationships/hyperlink" Target="https://www.rivolier-sd.co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www.protecsecuritysystems.fr" TargetMode="External"/><Relationship Id="rId5" Type="http://schemas.openxmlformats.org/officeDocument/2006/relationships/hyperlink" Target="https://www.flyingeye.fr" TargetMode="External"/><Relationship Id="rId6" Type="http://schemas.openxmlformats.org/officeDocument/2006/relationships/hyperlink" Target="https://www.geomesure.fr" TargetMode="External"/><Relationship Id="rId7" Type="http://schemas.openxmlformats.org/officeDocument/2006/relationships/hyperlink" Target="https://www.lacameraembarquee.fr" TargetMode="External"/><Relationship Id="rId8" Type="http://schemas.openxmlformats.org/officeDocument/2006/relationships/hyperlink" Target="https://www.prodrones.f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drone.fr" TargetMode="External"/><Relationship Id="rId22" Type="http://schemas.openxmlformats.org/officeDocument/2006/relationships/hyperlink" Target="https://www.abot.fr" TargetMode="External"/><Relationship Id="rId21" Type="http://schemas.openxmlformats.org/officeDocument/2006/relationships/hyperlink" Target="https://fr.linkedin.com/posts/instadrone-sarl_instadrone-d%C3%A9ploie-le-dji-dock-3-chez-suez-activity-7439586809300291584-8JEz" TargetMode="External"/><Relationship Id="rId24" Type="http://schemas.openxmlformats.org/officeDocument/2006/relationships/hyperlink" Target="https://www.drotek.com" TargetMode="External"/><Relationship Id="rId23" Type="http://schemas.openxmlformats.org/officeDocument/2006/relationships/hyperlink" Target="https://www.abot.fr/blog/l-interet-du-dji-dock-2-chez-epc-france-mines-et-carrieres-n809" TargetMode="External"/><Relationship Id="rId1" Type="http://schemas.openxmlformats.org/officeDocument/2006/relationships/hyperlink" Target="https://www.suasnews.com/2023/06/parrot-conducts-the-first-french-bvlos-approved-corridor-flight-with-anafi-ai/" TargetMode="External"/><Relationship Id="rId2" Type="http://schemas.openxmlformats.org/officeDocument/2006/relationships/hyperlink" Target="https://www.flyingeye.fr" TargetMode="External"/><Relationship Id="rId3" Type="http://schemas.openxmlformats.org/officeDocument/2006/relationships/hyperlink" Target="https://www.flyingeye.fr/autorisation-dexploitation-bvlos-pour-le-dji-dock-une-premiere-en-france/" TargetMode="External"/><Relationship Id="rId4" Type="http://schemas.openxmlformats.org/officeDocument/2006/relationships/hyperlink" Target="https://rigi.tech" TargetMode="External"/><Relationship Id="rId9" Type="http://schemas.openxmlformats.org/officeDocument/2006/relationships/hyperlink" Target="https://rigi.tech/delivrone-and-rigitech-successfully-fly-nighttime-bvlos-routes-in-northern-france/" TargetMode="External"/><Relationship Id="rId26" Type="http://schemas.openxmlformats.org/officeDocument/2006/relationships/hyperlink" Target="https://www.skeye.com" TargetMode="External"/><Relationship Id="rId25" Type="http://schemas.openxmlformats.org/officeDocument/2006/relationships/hyperlink" Target="https://www.drotek.com/services/regulation-support" TargetMode="External"/><Relationship Id="rId28" Type="http://schemas.openxmlformats.org/officeDocument/2006/relationships/hyperlink" Target="https://airwayz.co" TargetMode="External"/><Relationship Id="rId27" Type="http://schemas.openxmlformats.org/officeDocument/2006/relationships/hyperlink" Target="https://www.skeye.com/news/first-luc-in-the-netherlands-issued-to-skeye/" TargetMode="External"/><Relationship Id="rId5" Type="http://schemas.openxmlformats.org/officeDocument/2006/relationships/hyperlink" Target="https://rigi.tech/biogroup-and-rigitech-obtain-bvlos-authorisations-from-french-civil-aviation/" TargetMode="External"/><Relationship Id="rId6" Type="http://schemas.openxmlformats.org/officeDocument/2006/relationships/hyperlink" Target="https://www.biogroup.fr" TargetMode="External"/><Relationship Id="rId29" Type="http://schemas.openxmlformats.org/officeDocument/2006/relationships/hyperlink" Target="https://airwayz.co/port-of-rotterdams-u-space-airspace/" TargetMode="External"/><Relationship Id="rId7" Type="http://schemas.openxmlformats.org/officeDocument/2006/relationships/hyperlink" Target="https://rigi.tech/biogroup-and-rigitech-obtain-bvlos-authorisations-from-french-civil-aviation/" TargetMode="External"/><Relationship Id="rId8" Type="http://schemas.openxmlformats.org/officeDocument/2006/relationships/hyperlink" Target="https://delivrone.com" TargetMode="External"/><Relationship Id="rId31" Type="http://schemas.openxmlformats.org/officeDocument/2006/relationships/hyperlink" Target="https://www.dronewatch.eu/anwb-to-test-medical-drone-flights-for-one-year-between-two-dutch-cities/" TargetMode="External"/><Relationship Id="rId30" Type="http://schemas.openxmlformats.org/officeDocument/2006/relationships/hyperlink" Target="https://www.anwb.nl" TargetMode="External"/><Relationship Id="rId11" Type="http://schemas.openxmlformats.org/officeDocument/2006/relationships/hyperlink" Target="https://delair.aero/power-utilities/drone-completes-bvlos-flight-via-3g/" TargetMode="External"/><Relationship Id="rId33" Type="http://schemas.openxmlformats.org/officeDocument/2006/relationships/hyperlink" Target="https://www.unmannedairspace.info/uncategorized/dutch-transport-regulator-grant-permission-for-first-drone-flights-over-densely-populated-areas/" TargetMode="External"/><Relationship Id="rId10" Type="http://schemas.openxmlformats.org/officeDocument/2006/relationships/hyperlink" Target="https://delair.aero" TargetMode="External"/><Relationship Id="rId32" Type="http://schemas.openxmlformats.org/officeDocument/2006/relationships/hyperlink" Target="https://www.droneflightcompany.com" TargetMode="External"/><Relationship Id="rId13" Type="http://schemas.openxmlformats.org/officeDocument/2006/relationships/hyperlink" Target="https://www.parrot.com/en/newsroom/parrot-conducts-first-french-bvlos-approved-corridor-flight-anafi-ai" TargetMode="External"/><Relationship Id="rId35" Type="http://schemas.openxmlformats.org/officeDocument/2006/relationships/hyperlink" Target="https://ddc.works/blog/flightops-and-dutch-drone-company-announce-strategic-partnership-to-spearhead-bvlos-drone-operations-in-the-benelux-region/" TargetMode="External"/><Relationship Id="rId12" Type="http://schemas.openxmlformats.org/officeDocument/2006/relationships/hyperlink" Target="https://www.parrot.com" TargetMode="External"/><Relationship Id="rId34" Type="http://schemas.openxmlformats.org/officeDocument/2006/relationships/hyperlink" Target="https://ddc.works" TargetMode="External"/><Relationship Id="rId15" Type="http://schemas.openxmlformats.org/officeDocument/2006/relationships/hyperlink" Target="https://www.unmannedairspace.info/uncategorized/dgac-certifies-azur-drones-fully-autonomous-operations/" TargetMode="External"/><Relationship Id="rId37" Type="http://schemas.openxmlformats.org/officeDocument/2006/relationships/hyperlink" Target="https://www.dronelicense.eu/blogs/popular/a-first-for-drone-class-dji-dock" TargetMode="External"/><Relationship Id="rId14" Type="http://schemas.openxmlformats.org/officeDocument/2006/relationships/hyperlink" Target="https://www.azurdrones.com" TargetMode="External"/><Relationship Id="rId36" Type="http://schemas.openxmlformats.org/officeDocument/2006/relationships/hyperlink" Target="https://www.droneclass.nl" TargetMode="External"/><Relationship Id="rId17" Type="http://schemas.openxmlformats.org/officeDocument/2006/relationships/hyperlink" Target="https://www.boreal-uas.com/en/the-boreal-drone-authorized-by-the-dgac-to-carry-out-high-elongation-missions-a-french-first-for-a-25-kg-fixed-wing-drone/" TargetMode="External"/><Relationship Id="rId16" Type="http://schemas.openxmlformats.org/officeDocument/2006/relationships/hyperlink" Target="https://www.boreal-uas.com" TargetMode="External"/><Relationship Id="rId38" Type="http://schemas.openxmlformats.org/officeDocument/2006/relationships/drawing" Target="../drawings/drawing2.xml"/><Relationship Id="rId19" Type="http://schemas.openxmlformats.org/officeDocument/2006/relationships/hyperlink" Target="https://eudroneport.com/fr/autorisations-de-vol/autorisation-operationnelle/" TargetMode="External"/><Relationship Id="rId18" Type="http://schemas.openxmlformats.org/officeDocument/2006/relationships/hyperlink" Target="https://eudronepo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2">
        <f>+33235003880</f>
        <v>33235003880</v>
      </c>
      <c r="G2" s="3" t="s">
        <v>13</v>
      </c>
      <c r="H2" s="1" t="s">
        <v>14</v>
      </c>
      <c r="I2" s="1" t="s">
        <v>15</v>
      </c>
    </row>
    <row r="3">
      <c r="A3" s="1">
        <v>6.0</v>
      </c>
      <c r="B3" s="1" t="s">
        <v>16</v>
      </c>
      <c r="C3" s="1" t="s">
        <v>17</v>
      </c>
      <c r="D3" s="1" t="s">
        <v>18</v>
      </c>
      <c r="E3" s="1">
        <v>1.85391675E8</v>
      </c>
      <c r="G3" s="3" t="s">
        <v>19</v>
      </c>
      <c r="H3" s="1" t="s">
        <v>20</v>
      </c>
      <c r="I3" s="1" t="s">
        <v>15</v>
      </c>
    </row>
    <row r="4">
      <c r="A4" s="1">
        <v>2.0</v>
      </c>
      <c r="B4" s="1" t="s">
        <v>21</v>
      </c>
      <c r="C4" s="1" t="s">
        <v>22</v>
      </c>
      <c r="D4" s="1" t="s">
        <v>23</v>
      </c>
      <c r="E4" s="1">
        <v>4.744613E8</v>
      </c>
      <c r="G4" s="3" t="s">
        <v>24</v>
      </c>
      <c r="H4" s="1" t="s">
        <v>20</v>
      </c>
      <c r="I4" s="1" t="s">
        <v>15</v>
      </c>
    </row>
    <row r="5">
      <c r="A5" s="1">
        <v>11.0</v>
      </c>
      <c r="B5" s="1" t="s">
        <v>25</v>
      </c>
      <c r="C5" s="1" t="s">
        <v>26</v>
      </c>
      <c r="D5" s="1" t="s">
        <v>27</v>
      </c>
      <c r="E5" s="2">
        <f>+33458005410</f>
        <v>33458005410</v>
      </c>
      <c r="G5" s="3" t="s">
        <v>28</v>
      </c>
      <c r="H5" s="1" t="s">
        <v>20</v>
      </c>
      <c r="I5" s="1" t="s">
        <v>29</v>
      </c>
    </row>
    <row r="6">
      <c r="A6" s="1">
        <v>7.0</v>
      </c>
      <c r="B6" s="1" t="s">
        <v>30</v>
      </c>
      <c r="C6" s="1" t="s">
        <v>31</v>
      </c>
      <c r="D6" s="1" t="s">
        <v>32</v>
      </c>
      <c r="E6" s="2">
        <f>+33972627850</f>
        <v>33972627850</v>
      </c>
      <c r="G6" s="3" t="s">
        <v>33</v>
      </c>
      <c r="H6" s="1" t="s">
        <v>14</v>
      </c>
      <c r="I6" s="1" t="s">
        <v>34</v>
      </c>
    </row>
    <row r="7">
      <c r="A7" s="1">
        <v>4.0</v>
      </c>
      <c r="B7" s="1" t="s">
        <v>35</v>
      </c>
      <c r="C7" s="1" t="s">
        <v>36</v>
      </c>
      <c r="D7" s="1" t="s">
        <v>37</v>
      </c>
      <c r="E7" s="2">
        <f>+33977408676</f>
        <v>33977408676</v>
      </c>
      <c r="G7" s="3" t="s">
        <v>38</v>
      </c>
      <c r="H7" s="1" t="s">
        <v>20</v>
      </c>
      <c r="I7" s="1" t="s">
        <v>15</v>
      </c>
    </row>
    <row r="8">
      <c r="A8" s="1">
        <v>8.0</v>
      </c>
      <c r="B8" s="1" t="s">
        <v>39</v>
      </c>
      <c r="C8" s="1" t="s">
        <v>40</v>
      </c>
      <c r="D8" s="1" t="s">
        <v>41</v>
      </c>
      <c r="E8" s="2">
        <f>+33442261010</f>
        <v>33442261010</v>
      </c>
      <c r="F8" s="1" t="s">
        <v>42</v>
      </c>
      <c r="G8" s="3" t="s">
        <v>43</v>
      </c>
      <c r="H8" s="1" t="s">
        <v>20</v>
      </c>
      <c r="I8" s="1" t="s">
        <v>15</v>
      </c>
    </row>
    <row r="9">
      <c r="A9" s="1">
        <v>9.0</v>
      </c>
      <c r="B9" s="1" t="s">
        <v>44</v>
      </c>
      <c r="C9" s="1" t="s">
        <v>45</v>
      </c>
      <c r="D9" s="1" t="s">
        <v>46</v>
      </c>
      <c r="E9" s="2">
        <f>+33321306300</f>
        <v>33321306300</v>
      </c>
      <c r="F9" s="1" t="s">
        <v>47</v>
      </c>
      <c r="G9" s="3" t="s">
        <v>48</v>
      </c>
      <c r="H9" s="1" t="s">
        <v>20</v>
      </c>
      <c r="I9" s="1" t="s">
        <v>15</v>
      </c>
    </row>
    <row r="10">
      <c r="A10" s="1">
        <v>3.0</v>
      </c>
      <c r="B10" s="1" t="s">
        <v>49</v>
      </c>
      <c r="C10" s="1" t="s">
        <v>50</v>
      </c>
      <c r="D10" s="1" t="s">
        <v>51</v>
      </c>
      <c r="F10" s="1" t="s">
        <v>52</v>
      </c>
      <c r="G10" s="3" t="s">
        <v>53</v>
      </c>
      <c r="H10" s="1" t="s">
        <v>20</v>
      </c>
      <c r="I10" s="1" t="s">
        <v>15</v>
      </c>
    </row>
    <row r="11">
      <c r="A11" s="1">
        <v>5.0</v>
      </c>
      <c r="B11" s="1" t="s">
        <v>54</v>
      </c>
      <c r="C11" s="1" t="s">
        <v>55</v>
      </c>
      <c r="D11" s="1" t="s">
        <v>56</v>
      </c>
      <c r="F11" s="1" t="s">
        <v>57</v>
      </c>
      <c r="G11" s="3" t="s">
        <v>58</v>
      </c>
      <c r="H11" s="1" t="s">
        <v>20</v>
      </c>
      <c r="I11" s="1" t="s">
        <v>15</v>
      </c>
    </row>
    <row r="12">
      <c r="A12" s="1">
        <v>10.0</v>
      </c>
      <c r="B12" s="1" t="s">
        <v>59</v>
      </c>
      <c r="C12" s="1" t="s">
        <v>60</v>
      </c>
      <c r="D12" s="1" t="s">
        <v>61</v>
      </c>
      <c r="E12" s="2">
        <f>+33473140363</f>
        <v>33473140363</v>
      </c>
      <c r="G12" s="3" t="s">
        <v>62</v>
      </c>
      <c r="H12" s="1" t="s">
        <v>20</v>
      </c>
      <c r="I12" s="1" t="s">
        <v>15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1" t="s">
        <v>0</v>
      </c>
      <c r="B1" s="1" t="s">
        <v>1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</v>
      </c>
      <c r="I1" s="1" t="s">
        <v>68</v>
      </c>
      <c r="J1" s="1" t="s">
        <v>69</v>
      </c>
      <c r="U1" s="3" t="s">
        <v>70</v>
      </c>
    </row>
    <row r="2">
      <c r="A2" s="1">
        <v>1.0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>
        <v>2023.0</v>
      </c>
      <c r="H2" s="3" t="s">
        <v>33</v>
      </c>
      <c r="I2" s="1" t="s">
        <v>76</v>
      </c>
      <c r="J2" s="3" t="s">
        <v>77</v>
      </c>
    </row>
    <row r="3">
      <c r="A3" s="1">
        <v>2.0</v>
      </c>
      <c r="B3" s="1" t="s">
        <v>78</v>
      </c>
      <c r="C3" s="1" t="s">
        <v>79</v>
      </c>
      <c r="D3" s="1" t="s">
        <v>80</v>
      </c>
      <c r="E3" s="1" t="s">
        <v>74</v>
      </c>
      <c r="F3" s="1" t="s">
        <v>81</v>
      </c>
      <c r="G3" s="1">
        <v>2022.0</v>
      </c>
      <c r="H3" s="3" t="s">
        <v>82</v>
      </c>
      <c r="I3" s="1" t="s">
        <v>83</v>
      </c>
      <c r="J3" s="3" t="s">
        <v>84</v>
      </c>
    </row>
    <row r="4">
      <c r="A4" s="1">
        <v>3.0</v>
      </c>
      <c r="B4" s="1" t="s">
        <v>85</v>
      </c>
      <c r="C4" s="1" t="s">
        <v>86</v>
      </c>
      <c r="D4" s="1" t="s">
        <v>87</v>
      </c>
      <c r="E4" s="1" t="s">
        <v>74</v>
      </c>
      <c r="F4" s="1" t="s">
        <v>88</v>
      </c>
      <c r="G4" s="1">
        <v>2022.0</v>
      </c>
      <c r="H4" s="3" t="s">
        <v>89</v>
      </c>
      <c r="I4" s="1" t="s">
        <v>90</v>
      </c>
      <c r="J4" s="3" t="s">
        <v>84</v>
      </c>
    </row>
    <row r="5">
      <c r="A5" s="1">
        <v>4.0</v>
      </c>
      <c r="B5" s="1" t="s">
        <v>91</v>
      </c>
      <c r="C5" s="1" t="s">
        <v>92</v>
      </c>
      <c r="D5" s="1" t="s">
        <v>93</v>
      </c>
      <c r="E5" s="1" t="s">
        <v>74</v>
      </c>
      <c r="F5" s="1" t="s">
        <v>81</v>
      </c>
      <c r="G5" s="1">
        <v>2023.0</v>
      </c>
      <c r="H5" s="3" t="s">
        <v>94</v>
      </c>
      <c r="I5" s="1" t="s">
        <v>95</v>
      </c>
      <c r="J5" s="3" t="s">
        <v>96</v>
      </c>
    </row>
    <row r="6">
      <c r="A6" s="1">
        <v>5.0</v>
      </c>
      <c r="B6" s="1" t="s">
        <v>97</v>
      </c>
      <c r="C6" s="1" t="s">
        <v>98</v>
      </c>
      <c r="D6" s="1" t="s">
        <v>99</v>
      </c>
      <c r="E6" s="1" t="s">
        <v>100</v>
      </c>
      <c r="F6" s="1" t="s">
        <v>101</v>
      </c>
      <c r="G6" s="1" t="s">
        <v>102</v>
      </c>
      <c r="H6" s="3" t="s">
        <v>103</v>
      </c>
      <c r="I6" s="1" t="s">
        <v>104</v>
      </c>
      <c r="J6" s="3" t="s">
        <v>105</v>
      </c>
    </row>
    <row r="7">
      <c r="A7" s="1">
        <v>6.0</v>
      </c>
      <c r="B7" s="1" t="s">
        <v>106</v>
      </c>
      <c r="C7" s="1" t="s">
        <v>107</v>
      </c>
      <c r="D7" s="1" t="s">
        <v>108</v>
      </c>
      <c r="E7" s="1" t="s">
        <v>74</v>
      </c>
      <c r="F7" s="1" t="s">
        <v>109</v>
      </c>
      <c r="G7" s="1">
        <v>2023.0</v>
      </c>
      <c r="H7" s="3" t="s">
        <v>110</v>
      </c>
      <c r="I7" s="1" t="s">
        <v>111</v>
      </c>
      <c r="J7" s="3" t="s">
        <v>112</v>
      </c>
    </row>
    <row r="8">
      <c r="A8" s="1">
        <v>7.0</v>
      </c>
      <c r="B8" s="1" t="s">
        <v>113</v>
      </c>
      <c r="C8" s="1" t="s">
        <v>114</v>
      </c>
      <c r="D8" s="1" t="s">
        <v>115</v>
      </c>
      <c r="E8" s="1" t="s">
        <v>116</v>
      </c>
      <c r="F8" s="1" t="s">
        <v>117</v>
      </c>
      <c r="G8" s="1">
        <v>2019.0</v>
      </c>
      <c r="H8" s="3" t="s">
        <v>118</v>
      </c>
      <c r="I8" s="1" t="s">
        <v>119</v>
      </c>
      <c r="J8" s="3" t="s">
        <v>120</v>
      </c>
    </row>
    <row r="9">
      <c r="A9" s="1">
        <v>8.0</v>
      </c>
      <c r="B9" s="1" t="s">
        <v>121</v>
      </c>
      <c r="C9" s="1" t="s">
        <v>114</v>
      </c>
      <c r="D9" s="1" t="s">
        <v>122</v>
      </c>
      <c r="E9" s="1" t="s">
        <v>123</v>
      </c>
      <c r="F9" s="1" t="s">
        <v>124</v>
      </c>
      <c r="G9" s="1">
        <v>2022.0</v>
      </c>
      <c r="H9" s="3" t="s">
        <v>125</v>
      </c>
      <c r="I9" s="1" t="s">
        <v>126</v>
      </c>
      <c r="J9" s="3" t="s">
        <v>127</v>
      </c>
    </row>
    <row r="10">
      <c r="A10" s="1">
        <v>9.0</v>
      </c>
      <c r="B10" s="1" t="s">
        <v>128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H10" s="3" t="s">
        <v>134</v>
      </c>
      <c r="I10" s="1" t="s">
        <v>135</v>
      </c>
      <c r="J10" s="3" t="s">
        <v>136</v>
      </c>
    </row>
    <row r="11">
      <c r="A11" s="1">
        <v>11.0</v>
      </c>
      <c r="B11" s="1" t="s">
        <v>137</v>
      </c>
      <c r="C11" s="1" t="s">
        <v>114</v>
      </c>
      <c r="D11" s="1" t="s">
        <v>138</v>
      </c>
      <c r="E11" s="1" t="s">
        <v>139</v>
      </c>
      <c r="F11" s="1" t="s">
        <v>140</v>
      </c>
      <c r="G11" s="1">
        <v>2026.0</v>
      </c>
      <c r="H11" s="3" t="s">
        <v>141</v>
      </c>
      <c r="I11" s="1" t="s">
        <v>142</v>
      </c>
      <c r="J11" s="4" t="s">
        <v>143</v>
      </c>
    </row>
    <row r="12">
      <c r="A12" s="1">
        <v>12.0</v>
      </c>
      <c r="B12" s="1" t="s">
        <v>144</v>
      </c>
      <c r="C12" s="1" t="s">
        <v>145</v>
      </c>
      <c r="D12" s="1" t="s">
        <v>146</v>
      </c>
      <c r="E12" s="1" t="s">
        <v>147</v>
      </c>
      <c r="F12" s="1" t="s">
        <v>148</v>
      </c>
      <c r="G12" s="1">
        <v>2024.0</v>
      </c>
      <c r="H12" s="3" t="s">
        <v>13</v>
      </c>
      <c r="I12" s="1" t="s">
        <v>149</v>
      </c>
      <c r="J12" s="3" t="s">
        <v>150</v>
      </c>
    </row>
    <row r="13">
      <c r="A13" s="1">
        <v>13.0</v>
      </c>
      <c r="B13" s="1" t="s">
        <v>151</v>
      </c>
      <c r="C13" s="1" t="s">
        <v>114</v>
      </c>
      <c r="D13" s="1" t="s">
        <v>152</v>
      </c>
      <c r="E13" s="1" t="s">
        <v>153</v>
      </c>
      <c r="F13" s="1" t="s">
        <v>154</v>
      </c>
      <c r="G13" s="1" t="s">
        <v>133</v>
      </c>
      <c r="H13" s="3" t="s">
        <v>155</v>
      </c>
      <c r="I13" s="1" t="s">
        <v>156</v>
      </c>
      <c r="J13" s="3" t="s">
        <v>157</v>
      </c>
    </row>
    <row r="14">
      <c r="A14" s="1">
        <v>14.0</v>
      </c>
      <c r="B14" s="1" t="s">
        <v>158</v>
      </c>
      <c r="C14" s="1" t="s">
        <v>159</v>
      </c>
      <c r="D14" s="1" t="s">
        <v>160</v>
      </c>
      <c r="E14" s="1" t="s">
        <v>161</v>
      </c>
      <c r="F14" s="1" t="s">
        <v>162</v>
      </c>
      <c r="G14" s="1">
        <v>2022.0</v>
      </c>
      <c r="H14" s="3" t="s">
        <v>163</v>
      </c>
      <c r="I14" s="1" t="s">
        <v>164</v>
      </c>
      <c r="J14" s="3" t="s">
        <v>165</v>
      </c>
    </row>
    <row r="15">
      <c r="A15" s="1">
        <v>15.0</v>
      </c>
      <c r="B15" s="1" t="s">
        <v>166</v>
      </c>
      <c r="C15" s="1" t="s">
        <v>167</v>
      </c>
      <c r="D15" s="1" t="s">
        <v>168</v>
      </c>
      <c r="E15" s="1" t="s">
        <v>169</v>
      </c>
      <c r="F15" s="1" t="s">
        <v>170</v>
      </c>
      <c r="G15" s="1">
        <v>2022.0</v>
      </c>
      <c r="H15" s="3" t="s">
        <v>171</v>
      </c>
      <c r="I15" s="1" t="s">
        <v>172</v>
      </c>
      <c r="J15" s="3" t="s">
        <v>173</v>
      </c>
    </row>
    <row r="16">
      <c r="A16" s="1">
        <v>16.0</v>
      </c>
      <c r="B16" s="1" t="s">
        <v>174</v>
      </c>
      <c r="C16" s="1" t="s">
        <v>175</v>
      </c>
      <c r="D16" s="1" t="s">
        <v>176</v>
      </c>
      <c r="E16" s="1" t="s">
        <v>177</v>
      </c>
      <c r="F16" s="1" t="s">
        <v>178</v>
      </c>
      <c r="G16" s="1">
        <v>2025.0</v>
      </c>
      <c r="H16" s="3" t="s">
        <v>179</v>
      </c>
      <c r="I16" s="1" t="s">
        <v>180</v>
      </c>
      <c r="J16" s="3" t="s">
        <v>181</v>
      </c>
    </row>
    <row r="17">
      <c r="A17" s="1">
        <v>17.0</v>
      </c>
      <c r="B17" s="1" t="s">
        <v>182</v>
      </c>
      <c r="C17" s="1" t="s">
        <v>175</v>
      </c>
      <c r="D17" s="1" t="s">
        <v>183</v>
      </c>
      <c r="E17" s="1" t="s">
        <v>184</v>
      </c>
      <c r="F17" s="1" t="s">
        <v>185</v>
      </c>
      <c r="G17" s="1">
        <v>2023.0</v>
      </c>
      <c r="H17" s="3" t="s">
        <v>186</v>
      </c>
      <c r="I17" s="1" t="s">
        <v>187</v>
      </c>
      <c r="J17" s="3" t="s">
        <v>188</v>
      </c>
    </row>
    <row r="18">
      <c r="A18" s="1">
        <v>18.0</v>
      </c>
      <c r="B18" s="1" t="s">
        <v>189</v>
      </c>
      <c r="C18" s="1" t="s">
        <v>167</v>
      </c>
      <c r="D18" s="1" t="s">
        <v>190</v>
      </c>
      <c r="E18" s="1" t="s">
        <v>184</v>
      </c>
      <c r="F18" s="1" t="s">
        <v>191</v>
      </c>
      <c r="G18" s="1">
        <v>2024.0</v>
      </c>
      <c r="H18" s="3" t="s">
        <v>192</v>
      </c>
      <c r="I18" s="1" t="s">
        <v>193</v>
      </c>
      <c r="J18" s="3" t="s">
        <v>194</v>
      </c>
    </row>
    <row r="19">
      <c r="A19" s="1">
        <v>19.0</v>
      </c>
      <c r="B19" s="1" t="s">
        <v>195</v>
      </c>
      <c r="C19" s="1" t="s">
        <v>175</v>
      </c>
      <c r="D19" s="1" t="s">
        <v>196</v>
      </c>
      <c r="E19" s="1" t="s">
        <v>197</v>
      </c>
      <c r="F19" s="1" t="s">
        <v>198</v>
      </c>
      <c r="G19" s="1">
        <v>2023.0</v>
      </c>
      <c r="H19" s="3" t="s">
        <v>199</v>
      </c>
      <c r="I19" s="1" t="s">
        <v>200</v>
      </c>
      <c r="J19" s="3" t="s">
        <v>201</v>
      </c>
    </row>
  </sheetData>
  <hyperlinks>
    <hyperlink r:id="rId1" ref="U1"/>
    <hyperlink r:id="rId2" ref="H2"/>
    <hyperlink r:id="rId3" ref="J2"/>
    <hyperlink r:id="rId4" ref="H3"/>
    <hyperlink r:id="rId5" ref="J3"/>
    <hyperlink r:id="rId6" ref="H4"/>
    <hyperlink r:id="rId7" ref="J4"/>
    <hyperlink r:id="rId8" ref="H5"/>
    <hyperlink r:id="rId9" ref="J5"/>
    <hyperlink r:id="rId10" ref="H6"/>
    <hyperlink r:id="rId11" ref="J6"/>
    <hyperlink r:id="rId12" ref="H7"/>
    <hyperlink r:id="rId13" ref="J7"/>
    <hyperlink r:id="rId14" ref="H8"/>
    <hyperlink r:id="rId15" ref="J8"/>
    <hyperlink r:id="rId16" ref="H9"/>
    <hyperlink r:id="rId17" ref="J9"/>
    <hyperlink r:id="rId18" ref="H10"/>
    <hyperlink r:id="rId19" ref="J10"/>
    <hyperlink r:id="rId20" ref="H11"/>
    <hyperlink r:id="rId21" ref="J11"/>
    <hyperlink r:id="rId22" ref="H12"/>
    <hyperlink r:id="rId23" ref="J12"/>
    <hyperlink r:id="rId24" ref="H13"/>
    <hyperlink r:id="rId25" ref="J13"/>
    <hyperlink r:id="rId26" ref="H14"/>
    <hyperlink r:id="rId27" ref="J14"/>
    <hyperlink r:id="rId28" ref="H15"/>
    <hyperlink r:id="rId29" ref="J15"/>
    <hyperlink r:id="rId30" ref="H16"/>
    <hyperlink r:id="rId31" ref="J16"/>
    <hyperlink r:id="rId32" ref="H17"/>
    <hyperlink r:id="rId33" ref="J17"/>
    <hyperlink r:id="rId34" ref="H18"/>
    <hyperlink r:id="rId35" ref="J18"/>
    <hyperlink r:id="rId36" ref="H19"/>
    <hyperlink r:id="rId37" ref="J19"/>
  </hyperlinks>
  <drawing r:id="rId38"/>
</worksheet>
</file>